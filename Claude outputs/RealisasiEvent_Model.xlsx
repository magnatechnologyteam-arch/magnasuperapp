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isasi Event" sheetId="1" state="visible" r:id="rId3"/>
    <sheet name="Rekap" sheetId="2" state="visible" r:id="rId4"/>
    <sheet name="Panduan Kategori" sheetId="3" state="visible" r:id="rId5"/>
  </sheets>
  <definedNames>
    <definedName function="false" hidden="true" localSheetId="0" name="_xlnm._FilterDatabase" vbProcedure="false">'Realisasi Event'!$A$4:$M$10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<sst xmlns="http://schemas.openxmlformats.org/spreadsheetml/2006/main" count="137" uniqueCount="91">
  <si>
    <t xml:space="preserve">REALISASI EVENT — Magna Technology</t>
  </si>
  <si>
    <t xml:space="preserve">Contoh model tampilan ekspor — data di bawah ini CONTOH, bukan data transaksi asli. Diurutkan dari tanggal pengeluaran paling awal.</t>
  </si>
  <si>
    <t xml:space="preserve">No.</t>
  </si>
  <si>
    <t xml:space="preserve">Tanggal</t>
  </si>
  <si>
    <t xml:space="preserve">Divisi</t>
  </si>
  <si>
    <t xml:space="preserve">Event / Proyek Terkait</t>
  </si>
  <si>
    <t xml:space="preserve">Kategori</t>
  </si>
  <si>
    <t xml:space="preserve">PIC Pengeluaran</t>
  </si>
  <si>
    <t xml:space="preserve">Nominal</t>
  </si>
  <si>
    <t xml:space="preserve">Total Berjalan</t>
  </si>
  <si>
    <t xml:space="preserve">Metode Pembayaran</t>
  </si>
  <si>
    <t xml:space="preserve">Status Penggantian Dana</t>
  </si>
  <si>
    <t xml:space="preserve">Bukti Transaksi</t>
  </si>
  <si>
    <t xml:space="preserve">Keterangan (opsional)</t>
  </si>
  <si>
    <t xml:space="preserve">Dicatat Oleh</t>
  </si>
  <si>
    <t xml:space="preserve">2026-09-02</t>
  </si>
  <si>
    <t xml:space="preserve">Magnativ</t>
  </si>
  <si>
    <t xml:space="preserve">Wedding Expo Jakarta</t>
  </si>
  <si>
    <t xml:space="preserve">Sewa Venue</t>
  </si>
  <si>
    <t xml:space="preserve">Azriel</t>
  </si>
  <si>
    <t xml:space="preserve">Transfer BCA</t>
  </si>
  <si>
    <t xml:space="preserve">Tidak Perlu</t>
  </si>
  <si>
    <t xml:space="preserve">Azriel_02Sep_5000000_SewaVenueHariH.jpg
Azriel_02Sep_5000000_SewaVenueHariH_2.jpg</t>
  </si>
  <si>
    <t xml:space="preserve">Sewa venue hari-H</t>
  </si>
  <si>
    <t xml:space="preserve">Rina (Finance)</t>
  </si>
  <si>
    <t xml:space="preserve">2026-09-03</t>
  </si>
  <si>
    <t xml:space="preserve">Production</t>
  </si>
  <si>
    <t xml:space="preserve">Booth PT Sinar Abadi</t>
  </si>
  <si>
    <t xml:space="preserve">Dekorasi &amp; Material</t>
  </si>
  <si>
    <t xml:space="preserve">Daniel Sitorus</t>
  </si>
  <si>
    <t xml:space="preserve">Qris</t>
  </si>
  <si>
    <t xml:space="preserve">Sudah Diganti</t>
  </si>
  <si>
    <t xml:space="preserve">DanielSitorus_03Sep_2300000_DekorasiBooth.jpg</t>
  </si>
  <si>
    <t xml:space="preserve">—</t>
  </si>
  <si>
    <t xml:space="preserve">2026-09-04</t>
  </si>
  <si>
    <t xml:space="preserve">Magnarent</t>
  </si>
  <si>
    <t xml:space="preserve">Sewa Genset — PT Maju Bersama</t>
  </si>
  <si>
    <t xml:space="preserve">Transportasi</t>
  </si>
  <si>
    <t xml:space="preserve">Hasby</t>
  </si>
  <si>
    <t xml:space="preserve">Cash</t>
  </si>
  <si>
    <t xml:space="preserve">Belum Diganti</t>
  </si>
  <si>
    <t xml:space="preserve">Hasby_04Sep_450000_OngkosKirimAlat.jpg</t>
  </si>
  <si>
    <t xml:space="preserve">Ongkos kirim &amp; bongkar alat</t>
  </si>
  <si>
    <t xml:space="preserve">2026-09-05</t>
  </si>
  <si>
    <t xml:space="preserve">Finance / Umum</t>
  </si>
  <si>
    <t xml:space="preserve">(Operasional kantor — tidak terikat event)</t>
  </si>
  <si>
    <t xml:space="preserve">Operasional Kantor</t>
  </si>
  <si>
    <t xml:space="preserve">Kantong Jago</t>
  </si>
  <si>
    <t xml:space="preserve">Rina_05Sep_1200000_BeliATK.jpg
Rina_05Sep_1200000_BeliATK_2.jpg
Rina_05Sep_1200000_BeliATK_3.jpg</t>
  </si>
  <si>
    <t xml:space="preserve">Beli ATK &amp; consumables kantor</t>
  </si>
  <si>
    <t xml:space="preserve">2026-09-06</t>
  </si>
  <si>
    <t xml:space="preserve">Product Launch ABC Cosmetics</t>
  </si>
  <si>
    <t xml:space="preserve">Konsumsi</t>
  </si>
  <si>
    <t xml:space="preserve">Angel</t>
  </si>
  <si>
    <t xml:space="preserve">Angel_06Sep_850000_SnackTim.jpg</t>
  </si>
  <si>
    <t xml:space="preserve">Snack &amp; minum tim on-site</t>
  </si>
  <si>
    <t xml:space="preserve">Talent / Vendor</t>
  </si>
  <si>
    <t xml:space="preserve">Transfer Jago</t>
  </si>
  <si>
    <t xml:space="preserve">⚠ Belum diunggah</t>
  </si>
  <si>
    <t xml:space="preserve">Jasa tukang rakit booth (2 hari)</t>
  </si>
  <si>
    <t xml:space="preserve">TOTAL</t>
  </si>
  <si>
    <t xml:space="preserve">Catatan: baris di atas CONTOH untuk menunjukkan tata letak kolom. Saat modul jadi: baris terisi otomatis dari input Anda di aplikasi (bukan diketik manual di Excel), kolom "Bukti Transaksi" jadi tautan yang bisa diklik langsung untuk melihat/mengunduh file aslinya, dan "Total Berjalan" otomatis menjumlahkan dari baris pertama sampai baris itu — dipakai sebagai jejak (track) pengeluaran kumulatif. Filter periode/divisi/kategori dipilih sebelum tombol "Ekspor Excel" ditekan, sama seperti halaman Laporan &amp; Piutang yang sudah ada.</t>
  </si>
  <si>
    <t xml:space="preserve">REKAP REALISASI EVENT</t>
  </si>
  <si>
    <t xml:space="preserve">Dihitung otomatis (SUMIFS) dari tab "Realisasi Event" — ganti/tambah baris di sana, angka di sini ikut berubah</t>
  </si>
  <si>
    <t xml:space="preserve">Rekap per Divisi</t>
  </si>
  <si>
    <t xml:space="preserve">Total Nominal</t>
  </si>
  <si>
    <t xml:space="preserve">Total</t>
  </si>
  <si>
    <t xml:space="preserve">Rekap per Kategori</t>
  </si>
  <si>
    <t xml:space="preserve">Percetakan</t>
  </si>
  <si>
    <t xml:space="preserve">Lain-lain</t>
  </si>
  <si>
    <t xml:space="preserve">Rekap per Metode Pembayaran</t>
  </si>
  <si>
    <t xml:space="preserve">PANDUAN KATEGORI PENGELUARAN</t>
  </si>
  <si>
    <t xml:space="preserve">Acuan supaya pemilihan kategori konsisten antar divisi — bukan bagian dari file ekspor asli, khusus untuk didiskusikan</t>
  </si>
  <si>
    <t xml:space="preserve">Dipakai untuk</t>
  </si>
  <si>
    <t xml:space="preserve">Contoh</t>
  </si>
  <si>
    <t xml:space="preserve">Biaya sewa tempat/lokasi penyelenggaraan acara.</t>
  </si>
  <si>
    <t xml:space="preserve">Sewa ballroom, gedung, tenda, halaman outdoor</t>
  </si>
  <si>
    <t xml:space="preserve">Bahan dan properti untuk dekorasi/tampilan acara atau booth.</t>
  </si>
  <si>
    <t xml:space="preserve">Backdrop, bunga, kain, properti panggung, material booth</t>
  </si>
  <si>
    <t xml:space="preserve">Ongkos angkut alat/tim dan biaya perjalanan terkait event.</t>
  </si>
  <si>
    <t xml:space="preserve">Sewa truk/mobil, BBM, tol, parkir, ongkos kirim alat</t>
  </si>
  <si>
    <t xml:space="preserve">Makan dan minum untuk tim, klien, atau tamu selama persiapan/acara.</t>
  </si>
  <si>
    <t xml:space="preserve">Katering, snack, air minum kru</t>
  </si>
  <si>
    <t xml:space="preserve">Honor atau pembayaran ke pihak yang disewa untuk acara.</t>
  </si>
  <si>
    <t xml:space="preserve">MC, talent, fotografer/videografer, tukang/vendor eksternal</t>
  </si>
  <si>
    <t xml:space="preserve">Cetak materi fisik terkait acara.</t>
  </si>
  <si>
    <t xml:space="preserve">Banner, id card, undangan, materi promosi cetak</t>
  </si>
  <si>
    <t xml:space="preserve">Pengeluaran rutin kantor yang TIDAK terikat ke event/proyek tertentu — dipakai untuk entri "Finance / Umum".</t>
  </si>
  <si>
    <t xml:space="preserve">ATK, listrik, internet kantor, langganan software</t>
  </si>
  <si>
    <t xml:space="preserve">Pengeluaran sah yang tidak cocok masuk kategori manapun di atas.</t>
  </si>
  <si>
    <t xml:space="preserve">Pengeluaran situasional/darurat di lapangan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</si>
</sst>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p&quot;#,##0;&quot;(Rp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14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4B5563"/>
      <name val="Arial"/>
      <family val="0"/>
      <charset val="1"/>
    </font>
    <font>
      <u val="single"/>
      <sz val="9"/>
      <color rgb="FF1D4ED8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i val="true"/>
      <sz val="9"/>
      <color rgb="FFB91C1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2400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  <fill>
      <patternFill patternType="solid">
        <fgColor rgb="FFF3F4F6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D1FAE5"/>
        <bgColor rgb="FFF3F4F6"/>
      </patternFill>
    </fill>
    <fill>
      <patternFill patternType="solid">
        <fgColor rgb="FFFEE2C7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FEF3C7"/>
        <bgColor rgb="FFFEE2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C1D95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F1147"/>
      <rgbColor rgb="FF808000"/>
      <rgbColor rgb="FF800080"/>
      <rgbColor rgb="FF065F46"/>
      <rgbColor rgb="FFC0C0C0"/>
      <rgbColor rgb="FF808080"/>
      <rgbColor rgb="FF9999FF"/>
      <rgbColor rgb="FF92400E"/>
      <rgbColor rgb="FFFEF3C7"/>
      <rgbColor rgb="FFF3F4F6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D1FAE5"/>
      <rgbColor rgb="FFF9FAFB"/>
      <rgbColor rgb="FF99CCFF"/>
      <rgbColor rgb="FFFF99CC"/>
      <rgbColor rgb="FFCC99FF"/>
      <rgbColor rgb="FFFEE2C7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A3412"/>
      <rgbColor rgb="FFB91C1C"/>
      <rgbColor rgb="FF4C1D95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30"/>
    <col collapsed="false" customWidth="true" hidden="false" outlineLevel="0" max="12" min="12" style="0" width="24"/>
    <col collapsed="false" customWidth="true" hidden="false" outlineLevel="0" max="13" min="13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7.75" hidden="false" customHeight="true" outlineLevel="0" collapsed="false">
      <c r="A5" s="4" t="n">
        <v>1</v>
      </c>
      <c r="B5" s="4" t="s">
        <v>15</v>
      </c>
      <c r="C5" s="5" t="s">
        <v>16</v>
      </c>
      <c r="D5" s="6" t="s">
        <v>17</v>
      </c>
      <c r="E5" s="5" t="s">
        <v>18</v>
      </c>
      <c r="F5" s="5" t="s">
        <v>19</v>
      </c>
      <c r="G5" s="7" t="n">
        <v>5000000</v>
      </c>
      <c r="H5" s="8" t="n">
        <f aca="false">SUM($G$5:G5)</f>
        <v>5000000</v>
      </c>
      <c r="I5" s="5" t="s">
        <v>20</v>
      </c>
      <c r="J5" s="9" t="s">
        <v>21</v>
      </c>
      <c r="K5" s="10" t="s">
        <v>22</v>
      </c>
      <c r="L5" s="6" t="s">
        <v>23</v>
      </c>
      <c r="M5" s="5" t="s">
        <v>24</v>
      </c>
    </row>
    <row r="6" customFormat="false" ht="18" hidden="false" customHeight="true" outlineLevel="0" collapsed="false">
      <c r="A6" s="11" t="n">
        <v>2</v>
      </c>
      <c r="B6" s="11" t="s">
        <v>25</v>
      </c>
      <c r="C6" s="12" t="s">
        <v>26</v>
      </c>
      <c r="D6" s="13" t="s">
        <v>27</v>
      </c>
      <c r="E6" s="12" t="s">
        <v>28</v>
      </c>
      <c r="F6" s="12" t="s">
        <v>29</v>
      </c>
      <c r="G6" s="14" t="n">
        <v>2300000</v>
      </c>
      <c r="H6" s="15" t="n">
        <f aca="false">SUM($G$5:G6)</f>
        <v>7300000</v>
      </c>
      <c r="I6" s="12" t="s">
        <v>30</v>
      </c>
      <c r="J6" s="16" t="s">
        <v>31</v>
      </c>
      <c r="K6" s="17" t="s">
        <v>32</v>
      </c>
      <c r="L6" s="13" t="s">
        <v>33</v>
      </c>
      <c r="M6" s="12" t="s">
        <v>29</v>
      </c>
    </row>
    <row r="7" customFormat="false" ht="18" hidden="false" customHeight="true" outlineLevel="0" collapsed="false">
      <c r="A7" s="4" t="n">
        <v>3</v>
      </c>
      <c r="B7" s="4" t="s">
        <v>34</v>
      </c>
      <c r="C7" s="5" t="s">
        <v>35</v>
      </c>
      <c r="D7" s="6" t="s">
        <v>36</v>
      </c>
      <c r="E7" s="5" t="s">
        <v>37</v>
      </c>
      <c r="F7" s="5" t="s">
        <v>38</v>
      </c>
      <c r="G7" s="7" t="n">
        <v>450000</v>
      </c>
      <c r="H7" s="8" t="n">
        <f aca="false">SUM($G$5:G7)</f>
        <v>7750000</v>
      </c>
      <c r="I7" s="5" t="s">
        <v>39</v>
      </c>
      <c r="J7" s="18" t="s">
        <v>40</v>
      </c>
      <c r="K7" s="10" t="s">
        <v>41</v>
      </c>
      <c r="L7" s="6" t="s">
        <v>42</v>
      </c>
      <c r="M7" s="5" t="s">
        <v>24</v>
      </c>
    </row>
    <row r="8" customFormat="false" ht="42" hidden="false" customHeight="true" outlineLevel="0" collapsed="false">
      <c r="A8" s="11" t="n">
        <v>4</v>
      </c>
      <c r="B8" s="11" t="s">
        <v>43</v>
      </c>
      <c r="C8" s="12" t="s">
        <v>44</v>
      </c>
      <c r="D8" s="13" t="s">
        <v>45</v>
      </c>
      <c r="E8" s="12" t="s">
        <v>46</v>
      </c>
      <c r="F8" s="12" t="s">
        <v>24</v>
      </c>
      <c r="G8" s="14" t="n">
        <v>1200000</v>
      </c>
      <c r="H8" s="15" t="n">
        <f aca="false">SUM($G$5:G8)</f>
        <v>8950000</v>
      </c>
      <c r="I8" s="12" t="s">
        <v>47</v>
      </c>
      <c r="J8" s="9" t="s">
        <v>21</v>
      </c>
      <c r="K8" s="17" t="s">
        <v>48</v>
      </c>
      <c r="L8" s="13" t="s">
        <v>49</v>
      </c>
      <c r="M8" s="12" t="s">
        <v>24</v>
      </c>
    </row>
    <row r="9" customFormat="false" ht="18" hidden="false" customHeight="true" outlineLevel="0" collapsed="false">
      <c r="A9" s="4" t="n">
        <v>5</v>
      </c>
      <c r="B9" s="4" t="s">
        <v>50</v>
      </c>
      <c r="C9" s="5" t="s">
        <v>16</v>
      </c>
      <c r="D9" s="6" t="s">
        <v>51</v>
      </c>
      <c r="E9" s="5" t="s">
        <v>52</v>
      </c>
      <c r="F9" s="5" t="s">
        <v>53</v>
      </c>
      <c r="G9" s="7" t="n">
        <v>850000</v>
      </c>
      <c r="H9" s="8" t="n">
        <f aca="false">SUM($G$5:G9)</f>
        <v>9800000</v>
      </c>
      <c r="I9" s="5" t="s">
        <v>20</v>
      </c>
      <c r="J9" s="9" t="s">
        <v>21</v>
      </c>
      <c r="K9" s="10" t="s">
        <v>54</v>
      </c>
      <c r="L9" s="6" t="s">
        <v>55</v>
      </c>
      <c r="M9" s="5" t="s">
        <v>53</v>
      </c>
    </row>
    <row r="10" customFormat="false" ht="18" hidden="false" customHeight="true" outlineLevel="0" collapsed="false">
      <c r="A10" s="11" t="n">
        <v>6</v>
      </c>
      <c r="B10" s="11" t="s">
        <v>50</v>
      </c>
      <c r="C10" s="12" t="s">
        <v>26</v>
      </c>
      <c r="D10" s="13" t="s">
        <v>27</v>
      </c>
      <c r="E10" s="12" t="s">
        <v>56</v>
      </c>
      <c r="F10" s="12" t="s">
        <v>29</v>
      </c>
      <c r="G10" s="14" t="n">
        <v>3500000</v>
      </c>
      <c r="H10" s="15" t="n">
        <f aca="false">SUM($G$5:G10)</f>
        <v>13300000</v>
      </c>
      <c r="I10" s="12" t="s">
        <v>57</v>
      </c>
      <c r="J10" s="18" t="s">
        <v>40</v>
      </c>
      <c r="K10" s="19" t="s">
        <v>58</v>
      </c>
      <c r="L10" s="13" t="s">
        <v>59</v>
      </c>
      <c r="M10" s="12" t="s">
        <v>29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1" t="s">
        <v>60</v>
      </c>
      <c r="G11" s="22" t="n">
        <f aca="false">SUM(G5:G10)</f>
        <v>13300000</v>
      </c>
      <c r="H11" s="22" t="n">
        <f aca="false">G11</f>
        <v>13300000</v>
      </c>
      <c r="I11" s="20"/>
      <c r="J11" s="20"/>
      <c r="K11" s="20"/>
      <c r="L11" s="20"/>
      <c r="M11" s="20"/>
    </row>
    <row r="13" customFormat="false" ht="45.75" hidden="false" customHeight="true" outlineLevel="0" collapsed="false">
      <c r="A13" s="23" t="s">
        <v>61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</sheetData>
  <autoFilter ref="A4:M10"/>
  <mergeCells count="3">
    <mergeCell ref="A1:M1"/>
    <mergeCell ref="A2:M2"/>
    <mergeCell ref="A13: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62</v>
      </c>
      <c r="B1" s="1"/>
      <c r="C1" s="1"/>
      <c r="D1" s="1"/>
    </row>
    <row r="2" customFormat="false" ht="15" hidden="false" customHeight="false" outlineLevel="0" collapsed="false">
      <c r="A2" s="2" t="s">
        <v>63</v>
      </c>
      <c r="B2" s="2"/>
      <c r="C2" s="2"/>
      <c r="D2" s="2"/>
    </row>
    <row r="4" customFormat="false" ht="15" hidden="false" customHeight="false" outlineLevel="0" collapsed="false">
      <c r="A4" s="24" t="s">
        <v>64</v>
      </c>
      <c r="B4" s="24"/>
    </row>
    <row r="5" customFormat="false" ht="15" hidden="false" customHeight="false" outlineLevel="0" collapsed="false">
      <c r="A5" s="25" t="s">
        <v>4</v>
      </c>
      <c r="B5" s="25" t="s">
        <v>65</v>
      </c>
    </row>
    <row r="6" customFormat="false" ht="15" hidden="false" customHeight="false" outlineLevel="0" collapsed="false">
      <c r="A6" s="26" t="s">
        <v>35</v>
      </c>
      <c r="B6" s="27" t="n">
        <f aca="false">SUMIFS('Realisasi Event'!$G$5:$G$10,'Realisasi Event'!$C$5:$C$10,A6)</f>
        <v>450000</v>
      </c>
    </row>
    <row r="7" customFormat="false" ht="15" hidden="false" customHeight="false" outlineLevel="0" collapsed="false">
      <c r="A7" s="26" t="s">
        <v>16</v>
      </c>
      <c r="B7" s="27" t="n">
        <f aca="false">SUMIFS('Realisasi Event'!$G$5:$G$10,'Realisasi Event'!$C$5:$C$10,A7)</f>
        <v>5850000</v>
      </c>
    </row>
    <row r="8" customFormat="false" ht="15" hidden="false" customHeight="false" outlineLevel="0" collapsed="false">
      <c r="A8" s="26" t="s">
        <v>26</v>
      </c>
      <c r="B8" s="27" t="n">
        <f aca="false">SUMIFS('Realisasi Event'!$G$5:$G$10,'Realisasi Event'!$C$5:$C$10,A8)</f>
        <v>5800000</v>
      </c>
    </row>
    <row r="9" customFormat="false" ht="15" hidden="false" customHeight="false" outlineLevel="0" collapsed="false">
      <c r="A9" s="26" t="s">
        <v>44</v>
      </c>
      <c r="B9" s="27" t="n">
        <f aca="false">SUMIFS('Realisasi Event'!$G$5:$G$10,'Realisasi Event'!$C$5:$C$10,A9)</f>
        <v>1200000</v>
      </c>
    </row>
    <row r="10" customFormat="false" ht="15" hidden="false" customHeight="false" outlineLevel="0" collapsed="false">
      <c r="A10" s="21" t="s">
        <v>66</v>
      </c>
      <c r="B10" s="28" t="n">
        <f aca="false">SUM(B6:B9)</f>
        <v>13300000</v>
      </c>
    </row>
    <row r="12" customFormat="false" ht="15" hidden="false" customHeight="false" outlineLevel="0" collapsed="false">
      <c r="A12" s="24" t="s">
        <v>67</v>
      </c>
      <c r="B12" s="24"/>
    </row>
    <row r="13" customFormat="false" ht="15" hidden="false" customHeight="false" outlineLevel="0" collapsed="false">
      <c r="A13" s="25" t="s">
        <v>6</v>
      </c>
      <c r="B13" s="25" t="s">
        <v>65</v>
      </c>
    </row>
    <row r="14" customFormat="false" ht="15" hidden="false" customHeight="false" outlineLevel="0" collapsed="false">
      <c r="A14" s="26" t="s">
        <v>18</v>
      </c>
      <c r="B14" s="27" t="n">
        <f aca="false">SUMIFS('Realisasi Event'!$G$5:$G$10,'Realisasi Event'!$E$5:$E$10,A14)</f>
        <v>5000000</v>
      </c>
    </row>
    <row r="15" customFormat="false" ht="15" hidden="false" customHeight="false" outlineLevel="0" collapsed="false">
      <c r="A15" s="26" t="s">
        <v>28</v>
      </c>
      <c r="B15" s="27" t="n">
        <f aca="false">SUMIFS('Realisasi Event'!$G$5:$G$10,'Realisasi Event'!$E$5:$E$10,A15)</f>
        <v>2300000</v>
      </c>
    </row>
    <row r="16" customFormat="false" ht="15" hidden="false" customHeight="false" outlineLevel="0" collapsed="false">
      <c r="A16" s="26" t="s">
        <v>37</v>
      </c>
      <c r="B16" s="27" t="n">
        <f aca="false">SUMIFS('Realisasi Event'!$G$5:$G$10,'Realisasi Event'!$E$5:$E$10,A16)</f>
        <v>450000</v>
      </c>
    </row>
    <row r="17" customFormat="false" ht="15" hidden="false" customHeight="false" outlineLevel="0" collapsed="false">
      <c r="A17" s="26" t="s">
        <v>46</v>
      </c>
      <c r="B17" s="27" t="n">
        <f aca="false">SUMIFS('Realisasi Event'!$G$5:$G$10,'Realisasi Event'!$E$5:$E$10,A17)</f>
        <v>1200000</v>
      </c>
    </row>
    <row r="18" customFormat="false" ht="15" hidden="false" customHeight="false" outlineLevel="0" collapsed="false">
      <c r="A18" s="26" t="s">
        <v>52</v>
      </c>
      <c r="B18" s="27" t="n">
        <f aca="false">SUMIFS('Realisasi Event'!$G$5:$G$10,'Realisasi Event'!$E$5:$E$10,A18)</f>
        <v>850000</v>
      </c>
    </row>
    <row r="19" customFormat="false" ht="15" hidden="false" customHeight="false" outlineLevel="0" collapsed="false">
      <c r="A19" s="26" t="s">
        <v>56</v>
      </c>
      <c r="B19" s="27" t="n">
        <f aca="false">SUMIFS('Realisasi Event'!$G$5:$G$10,'Realisasi Event'!$E$5:$E$10,A19)</f>
        <v>3500000</v>
      </c>
    </row>
    <row r="20" customFormat="false" ht="15" hidden="false" customHeight="false" outlineLevel="0" collapsed="false">
      <c r="A20" s="26" t="s">
        <v>68</v>
      </c>
      <c r="B20" s="27" t="n">
        <f aca="false">SUMIFS('Realisasi Event'!$G$5:$G$10,'Realisasi Event'!$E$5:$E$10,A20)</f>
        <v>0</v>
      </c>
    </row>
    <row r="21" customFormat="false" ht="15" hidden="false" customHeight="false" outlineLevel="0" collapsed="false">
      <c r="A21" s="26" t="s">
        <v>69</v>
      </c>
      <c r="B21" s="27" t="n">
        <f aca="false">SUMIFS('Realisasi Event'!$G$5:$G$10,'Realisasi Event'!$E$5:$E$10,A21)</f>
        <v>0</v>
      </c>
    </row>
    <row r="22" customFormat="false" ht="15" hidden="false" customHeight="false" outlineLevel="0" collapsed="false">
      <c r="A22" s="21" t="s">
        <v>66</v>
      </c>
      <c r="B22" s="28" t="n">
        <f aca="false">SUM(B14:B21)</f>
        <v>13300000</v>
      </c>
    </row>
    <row r="24" customFormat="false" ht="15" hidden="false" customHeight="false" outlineLevel="0" collapsed="false">
      <c r="A24" s="24" t="s">
        <v>70</v>
      </c>
      <c r="B24" s="24"/>
    </row>
    <row r="25" customFormat="false" ht="15" hidden="false" customHeight="false" outlineLevel="0" collapsed="false">
      <c r="A25" s="25" t="s">
        <v>10</v>
      </c>
      <c r="B25" s="25" t="s">
        <v>65</v>
      </c>
    </row>
    <row r="26" customFormat="false" ht="15" hidden="false" customHeight="false" outlineLevel="0" collapsed="false">
      <c r="A26" s="26" t="s">
        <v>20</v>
      </c>
      <c r="B26" s="27" t="n">
        <f aca="false">SUMIFS('Realisasi Event'!$G$5:$G$10,'Realisasi Event'!$I$5:$I$10,A26)</f>
        <v>5850000</v>
      </c>
    </row>
    <row r="27" customFormat="false" ht="15" hidden="false" customHeight="false" outlineLevel="0" collapsed="false">
      <c r="A27" s="26" t="s">
        <v>30</v>
      </c>
      <c r="B27" s="27" t="n">
        <f aca="false">SUMIFS('Realisasi Event'!$G$5:$G$10,'Realisasi Event'!$I$5:$I$10,A27)</f>
        <v>2300000</v>
      </c>
    </row>
    <row r="28" customFormat="false" ht="15" hidden="false" customHeight="false" outlineLevel="0" collapsed="false">
      <c r="A28" s="26" t="s">
        <v>39</v>
      </c>
      <c r="B28" s="27" t="n">
        <f aca="false">SUMIFS('Realisasi Event'!$G$5:$G$10,'Realisasi Event'!$I$5:$I$10,A28)</f>
        <v>450000</v>
      </c>
    </row>
    <row r="29" customFormat="false" ht="15" hidden="false" customHeight="false" outlineLevel="0" collapsed="false">
      <c r="A29" s="26" t="s">
        <v>47</v>
      </c>
      <c r="B29" s="27" t="n">
        <f aca="false">SUMIFS('Realisasi Event'!$G$5:$G$10,'Realisasi Event'!$I$5:$I$10,A29)</f>
        <v>1200000</v>
      </c>
    </row>
    <row r="30" customFormat="false" ht="15" hidden="false" customHeight="false" outlineLevel="0" collapsed="false">
      <c r="A30" s="26" t="s">
        <v>57</v>
      </c>
      <c r="B30" s="27" t="n">
        <f aca="false">SUMIFS('Realisasi Event'!$G$5:$G$10,'Realisasi Event'!$I$5:$I$10,A30)</f>
        <v>3500000</v>
      </c>
    </row>
    <row r="31" customFormat="false" ht="15" hidden="false" customHeight="false" outlineLevel="0" collapsed="false">
      <c r="A31" s="21" t="s">
        <v>66</v>
      </c>
      <c r="B31" s="28" t="n">
        <f aca="false">SUM(B26:B30)</f>
        <v>13300000</v>
      </c>
    </row>
  </sheetData>
  <mergeCells count="5">
    <mergeCell ref="A1:D1"/>
    <mergeCell ref="A2:D2"/>
    <mergeCell ref="A4:B4"/>
    <mergeCell ref="A12:B1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71</v>
      </c>
      <c r="B1" s="1"/>
      <c r="C1" s="1"/>
    </row>
    <row r="2" customFormat="false" ht="15" hidden="false" customHeight="false" outlineLevel="0" collapsed="false">
      <c r="A2" s="2" t="s">
        <v>72</v>
      </c>
      <c r="B2" s="2"/>
      <c r="C2" s="2"/>
    </row>
    <row r="4" customFormat="false" ht="15" hidden="false" customHeight="false" outlineLevel="0" collapsed="false">
      <c r="A4" s="29" t="s">
        <v>6</v>
      </c>
      <c r="B4" s="29" t="s">
        <v>73</v>
      </c>
      <c r="C4" s="29" t="s">
        <v>74</v>
      </c>
    </row>
    <row r="5" customFormat="false" ht="31.5" hidden="false" customHeight="true" outlineLevel="0" collapsed="false">
      <c r="A5" s="30" t="s">
        <v>18</v>
      </c>
      <c r="B5" s="6" t="s">
        <v>75</v>
      </c>
      <c r="C5" s="6" t="s">
        <v>76</v>
      </c>
    </row>
    <row r="6" customFormat="false" ht="31.5" hidden="false" customHeight="true" outlineLevel="0" collapsed="false">
      <c r="A6" s="31" t="s">
        <v>28</v>
      </c>
      <c r="B6" s="13" t="s">
        <v>77</v>
      </c>
      <c r="C6" s="13" t="s">
        <v>78</v>
      </c>
    </row>
    <row r="7" customFormat="false" ht="31.5" hidden="false" customHeight="true" outlineLevel="0" collapsed="false">
      <c r="A7" s="30" t="s">
        <v>37</v>
      </c>
      <c r="B7" s="6" t="s">
        <v>79</v>
      </c>
      <c r="C7" s="6" t="s">
        <v>80</v>
      </c>
    </row>
    <row r="8" customFormat="false" ht="31.5" hidden="false" customHeight="true" outlineLevel="0" collapsed="false">
      <c r="A8" s="31" t="s">
        <v>52</v>
      </c>
      <c r="B8" s="13" t="s">
        <v>81</v>
      </c>
      <c r="C8" s="13" t="s">
        <v>82</v>
      </c>
    </row>
    <row r="9" customFormat="false" ht="31.5" hidden="false" customHeight="true" outlineLevel="0" collapsed="false">
      <c r="A9" s="30" t="s">
        <v>56</v>
      </c>
      <c r="B9" s="6" t="s">
        <v>83</v>
      </c>
      <c r="C9" s="6" t="s">
        <v>84</v>
      </c>
    </row>
    <row r="10" customFormat="false" ht="31.5" hidden="false" customHeight="true" outlineLevel="0" collapsed="false">
      <c r="A10" s="31" t="s">
        <v>68</v>
      </c>
      <c r="B10" s="13" t="s">
        <v>85</v>
      </c>
      <c r="C10" s="13" t="s">
        <v>86</v>
      </c>
    </row>
    <row r="11" customFormat="false" ht="31.5" hidden="false" customHeight="true" outlineLevel="0" collapsed="false">
      <c r="A11" s="30" t="s">
        <v>46</v>
      </c>
      <c r="B11" s="6" t="s">
        <v>87</v>
      </c>
      <c r="C11" s="6" t="s">
        <v>88</v>
      </c>
    </row>
    <row r="12" customFormat="false" ht="31.5" hidden="false" customHeight="true" outlineLevel="0" collapsed="false">
      <c r="A12" s="31" t="s">
        <v>69</v>
      </c>
      <c r="B12" s="13" t="s">
        <v>89</v>
      </c>
      <c r="C12" s="13" t="s">
        <v>90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2026-09-16T06:31:06Z</dcterms:created>
  <dc:creator>openpyxl</dc:creator>
  <dc:description/>
  <dc:language>en-US</dc:language>
  <cp:lastModifiedBy/>
  <dcterms:modified xsi:type="dcterms:W3CDTF">2026-09-16T06:31:43Z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